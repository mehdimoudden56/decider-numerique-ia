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l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<sst xmlns="http://schemas.openxmlformats.org/spreadsheetml/2006/main" count="80" uniqueCount="69">
  <si>
    <t xml:space="preserve">Auto-évaluation de la gouvernance numérique : grille de scoring multi-évaluateurs</t>
  </si>
  <si>
    <t xml:space="preserve">Chaque évaluateur note de 0 à 3 (0 Pas du tout, 1 En partie, 2 Largement, 3 Totalement). La colonne Écart révèle les désaccords à discuter en comité.</t>
  </si>
  <si>
    <t xml:space="preserve">N°</t>
  </si>
  <si>
    <t xml:space="preserve">Énoncé</t>
  </si>
  <si>
    <t xml:space="preserve">Éval. 1</t>
  </si>
  <si>
    <t xml:space="preserve">Éval. 2</t>
  </si>
  <si>
    <t xml:space="preserve">Éval. 3</t>
  </si>
  <si>
    <t xml:space="preserve">Éval. 4</t>
  </si>
  <si>
    <t xml:space="preserve">Éval. 5</t>
  </si>
  <si>
    <t xml:space="preserve">Éval. 6</t>
  </si>
  <si>
    <t xml:space="preserve">Moyenne</t>
  </si>
  <si>
    <t xml:space="preserve">Écart</t>
  </si>
  <si>
    <t xml:space="preserve">A. Stratégie et alignement</t>
  </si>
  <si>
    <t xml:space="preserve">Q1</t>
  </si>
  <si>
    <t xml:space="preserve">La direction générale dispose d’un schéma directeur numérique formalisé, à horizon trois à cinq ans, articulé au plan stratégique de l’entreprise.</t>
  </si>
  <si>
    <t xml:space="preserve">Q2</t>
  </si>
  <si>
    <t xml:space="preserve">Le comité de direction réévalue formellement les arbitrages numériques au moins une fois par trimestre, en présence du dirigeant.</t>
  </si>
  <si>
    <t xml:space="preserve">Q3</t>
  </si>
  <si>
    <t xml:space="preserve">Notre politique make or buy est documentée et révisée régulièrement, en intégrant la dimension souveraineté numérique.</t>
  </si>
  <si>
    <t xml:space="preserve">Q4</t>
  </si>
  <si>
    <t xml:space="preserve">Chaque direction métier dispose d’un référent SI identifié, capable d’exprimer les besoins fonctionnels sans se substituer à la DSI.</t>
  </si>
  <si>
    <t xml:space="preserve">Q5</t>
  </si>
  <si>
    <t xml:space="preserve">Les sujets IA, données et cybersécurité figurent à l’agenda du comité stratégique SI, et non confinés à un sous-comité technique.</t>
  </si>
  <si>
    <t xml:space="preserve">B. Organisation et compétences</t>
  </si>
  <si>
    <t xml:space="preserve">Q6</t>
  </si>
  <si>
    <t xml:space="preserve">La DSI porte explicitement ses trois mandats Run, Build, Vision, avec des ressources et indicateurs distincts pour chacun.</t>
  </si>
  <si>
    <t xml:space="preserve">Q7</t>
  </si>
  <si>
    <t xml:space="preserve">Le DSI participe au comité de direction et y exerce une voix d’arbitrage, pas seulement de reporting.</t>
  </si>
  <si>
    <t xml:space="preserve">Q8</t>
  </si>
  <si>
    <t xml:space="preserve">Nous disposons en interne des compétences de pilotage de prestataires, même pour les activités les plus externalisées.</t>
  </si>
  <si>
    <t xml:space="preserve">Q9</t>
  </si>
  <si>
    <t xml:space="preserve">Un programme d’acculturation numérique pour le comité de direction et l’encadrement est en place, avec une mesure de progrès.</t>
  </si>
  <si>
    <t xml:space="preserve">Q10</t>
  </si>
  <si>
    <t xml:space="preserve">La satisfaction des directions métiers vis-à-vis de la DSI est mesurée chaque année et présentée à la direction générale.</t>
  </si>
  <si>
    <t xml:space="preserve">C. Risques et conformité</t>
  </si>
  <si>
    <t xml:space="preserve">Q11</t>
  </si>
  <si>
    <t xml:space="preserve">Notre cartographie des risques numériques est revue annuellement et fait l’objet d’une délibération formelle au comité de direction.</t>
  </si>
  <si>
    <t xml:space="preserve">Q12</t>
  </si>
  <si>
    <t xml:space="preserve">Nous disposons d’un plan de gestion de crise cyber testé au moins une fois par an, avec mise en situation des dirigeants.</t>
  </si>
  <si>
    <t xml:space="preserve">Q13</t>
  </si>
  <si>
    <t xml:space="preserve">La conformité aux règlements applicables (RGPD, NIS2, DORA, AI Act selon notre activité) est suivie par un référent désigné.</t>
  </si>
  <si>
    <t xml:space="preserve">Q14</t>
  </si>
  <si>
    <t xml:space="preserve">Nos dépendances technologiques critiques sont identifiées et un plan de réversibilité existe pour les plus structurantes.</t>
  </si>
  <si>
    <t xml:space="preserve">Q15</t>
  </si>
  <si>
    <t xml:space="preserve">La qualité des données critiques est mesurée et un responsable est identifié pour chaque référentiel.</t>
  </si>
  <si>
    <t xml:space="preserve">D. Performance et valeur</t>
  </si>
  <si>
    <t xml:space="preserve">Q16</t>
  </si>
  <si>
    <t xml:space="preserve">Le budget SI est piloté selon les trois logiques Run, Change, Build, avec une répartition explicite et discutée chaque année.</t>
  </si>
  <si>
    <t xml:space="preserve">Q17</t>
  </si>
  <si>
    <t xml:space="preserve">Un tableau de bord SI synthétique est présenté en comité de direction à fréquence régulière, avec indicateurs métier et techniques équilibrés.</t>
  </si>
  <si>
    <t xml:space="preserve">Q18</t>
  </si>
  <si>
    <t xml:space="preserve">Chaque projet SI majeur est doté d’un business case complet et fait l’objet d’un bilan post-projet formalisé.</t>
  </si>
  <si>
    <t xml:space="preserve">Q19</t>
  </si>
  <si>
    <t xml:space="preserve">Le portefeuille de projets numériques est priorisé selon des critères explicites et révisé au moins deux fois par an.</t>
  </si>
  <si>
    <t xml:space="preserve">Q20</t>
  </si>
  <si>
    <t xml:space="preserve">La dette technique fait l’objet d’une mesure explicite et d’un plan de résorption discuté en comité de direction.</t>
  </si>
  <si>
    <t xml:space="preserve">Synthèse</t>
  </si>
  <si>
    <t xml:space="preserve">Sous-totaux par dimension (sur 15)</t>
  </si>
  <si>
    <t xml:space="preserve">Total (sur 60)</t>
  </si>
  <si>
    <t xml:space="preserve">Profil de maturité</t>
  </si>
  <si>
    <t xml:space="preserve">Barème des profils</t>
  </si>
  <si>
    <t xml:space="preserve">0 à 15</t>
  </si>
  <si>
    <t xml:space="preserve">Maturité initiale, fonctionnement réactif</t>
  </si>
  <si>
    <t xml:space="preserve">16 à 30</t>
  </si>
  <si>
    <t xml:space="preserve">Maturité émergente, premiers fondamentaux</t>
  </si>
  <si>
    <t xml:space="preserve">31 à 45</t>
  </si>
  <si>
    <t xml:space="preserve">Maturité structurée, gouvernance opérante</t>
  </si>
  <si>
    <t xml:space="preserve">46 à 60</t>
  </si>
  <si>
    <t xml:space="preserve">Maturité avancée, gouvernance pilotée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</si>
</sst>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332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color rgb="FF2C5F7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2332"/>
        <bgColor rgb="FF333300"/>
      </patternFill>
    </fill>
    <fill>
      <patternFill patternType="solid">
        <fgColor rgb="FFFFFFFF"/>
        <bgColor rgb="FFFFF8E1"/>
      </patternFill>
    </fill>
    <fill>
      <patternFill patternType="solid">
        <fgColor rgb="FF2C5F7C"/>
        <bgColor rgb="FF3A4A5A"/>
      </patternFill>
    </fill>
    <fill>
      <patternFill patternType="solid">
        <fgColor rgb="FFE8EEF2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3A4A5A"/>
        <bgColor rgb="FF2C5F7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CC"/>
      </left>
      <right style="thin">
        <color rgb="FFB8C4CC"/>
      </right>
      <top style="thin">
        <color rgb="FFB8C4CC"/>
      </top>
      <bottom style="thin">
        <color rgb="FFB8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9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5F7C"/>
      <rgbColor rgb="FFB8C4CC"/>
      <rgbColor rgb="FF808080"/>
      <rgbColor rgb="FF9999FF"/>
      <rgbColor rgb="FF993366"/>
      <rgbColor rgb="FFFFF8E1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9C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A4A5A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8" min="3" style="0" width="8"/>
    <col collapsed="false" customWidth="true" hidden="false" outlineLevel="0" max="9" min="9" style="0" width="9"/>
    <col collapsed="false" customWidth="true" hidden="false" outlineLevel="0" max="10" min="10" style="0" width="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5" t="s">
        <v>12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22.35" hidden="false" customHeight="false" outlineLevel="0" collapsed="false">
      <c r="A6" s="6" t="s">
        <v>13</v>
      </c>
      <c r="B6" s="7" t="s">
        <v>14</v>
      </c>
      <c r="C6" s="8"/>
      <c r="D6" s="8"/>
      <c r="E6" s="8"/>
      <c r="F6" s="8"/>
      <c r="G6" s="8"/>
      <c r="H6" s="8"/>
      <c r="I6" s="9" t="str">
        <f aca="false">IFERROR(ROUND(AVERAGE(C6:H6),1),"")</f>
        <v/>
      </c>
      <c r="J6" s="9" t="str">
        <f aca="false">IF(COUNT(C6:H6)=0,"",MAX(C6:H6)-MIN(C6:H6))</f>
        <v/>
      </c>
    </row>
    <row r="7" customFormat="false" ht="22.35" hidden="false" customHeight="false" outlineLevel="0" collapsed="false">
      <c r="A7" s="6" t="s">
        <v>15</v>
      </c>
      <c r="B7" s="7" t="s">
        <v>16</v>
      </c>
      <c r="C7" s="8"/>
      <c r="D7" s="8"/>
      <c r="E7" s="8"/>
      <c r="F7" s="8"/>
      <c r="G7" s="8"/>
      <c r="H7" s="8"/>
      <c r="I7" s="9" t="str">
        <f aca="false">IFERROR(ROUND(AVERAGE(C7:H7),1),"")</f>
        <v/>
      </c>
      <c r="J7" s="9" t="str">
        <f aca="false">IF(COUNT(C7:H7)=0,"",MAX(C7:H7)-MIN(C7:H7))</f>
        <v/>
      </c>
    </row>
    <row r="8" customFormat="false" ht="22.35" hidden="false" customHeight="false" outlineLevel="0" collapsed="false">
      <c r="A8" s="6" t="s">
        <v>17</v>
      </c>
      <c r="B8" s="7" t="s">
        <v>18</v>
      </c>
      <c r="C8" s="8"/>
      <c r="D8" s="8"/>
      <c r="E8" s="8"/>
      <c r="F8" s="8"/>
      <c r="G8" s="8"/>
      <c r="H8" s="8"/>
      <c r="I8" s="9" t="str">
        <f aca="false">IFERROR(ROUND(AVERAGE(C8:H8),1),"")</f>
        <v/>
      </c>
      <c r="J8" s="9" t="str">
        <f aca="false">IF(COUNT(C8:H8)=0,"",MAX(C8:H8)-MIN(C8:H8))</f>
        <v/>
      </c>
    </row>
    <row r="9" customFormat="false" ht="22.35" hidden="false" customHeight="false" outlineLevel="0" collapsed="false">
      <c r="A9" s="6" t="s">
        <v>19</v>
      </c>
      <c r="B9" s="7" t="s">
        <v>20</v>
      </c>
      <c r="C9" s="8"/>
      <c r="D9" s="8"/>
      <c r="E9" s="8"/>
      <c r="F9" s="8"/>
      <c r="G9" s="8"/>
      <c r="H9" s="8"/>
      <c r="I9" s="9" t="str">
        <f aca="false">IFERROR(ROUND(AVERAGE(C9:H9),1),"")</f>
        <v/>
      </c>
      <c r="J9" s="9" t="str">
        <f aca="false">IF(COUNT(C9:H9)=0,"",MAX(C9:H9)-MIN(C9:H9))</f>
        <v/>
      </c>
    </row>
    <row r="10" customFormat="false" ht="22.35" hidden="false" customHeight="false" outlineLevel="0" collapsed="false">
      <c r="A10" s="6" t="s">
        <v>21</v>
      </c>
      <c r="B10" s="7" t="s">
        <v>22</v>
      </c>
      <c r="C10" s="8"/>
      <c r="D10" s="8"/>
      <c r="E10" s="8"/>
      <c r="F10" s="8"/>
      <c r="G10" s="8"/>
      <c r="H10" s="8"/>
      <c r="I10" s="9" t="str">
        <f aca="false">IFERROR(ROUND(AVERAGE(C10:H10),1),"")</f>
        <v/>
      </c>
      <c r="J10" s="9" t="str">
        <f aca="false">IF(COUNT(C10:H10)=0,"",MAX(C10:H10)-MIN(C10:H10))</f>
        <v/>
      </c>
    </row>
    <row r="11" customFormat="false" ht="15" hidden="false" customHeight="false" outlineLevel="0" collapsed="false">
      <c r="A11" s="5" t="s">
        <v>23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22.35" hidden="false" customHeight="false" outlineLevel="0" collapsed="false">
      <c r="A12" s="6" t="s">
        <v>24</v>
      </c>
      <c r="B12" s="7" t="s">
        <v>25</v>
      </c>
      <c r="C12" s="8"/>
      <c r="D12" s="8"/>
      <c r="E12" s="8"/>
      <c r="F12" s="8"/>
      <c r="G12" s="8"/>
      <c r="H12" s="8"/>
      <c r="I12" s="9" t="str">
        <f aca="false">IFERROR(ROUND(AVERAGE(C12:H12),1),"")</f>
        <v/>
      </c>
      <c r="J12" s="9" t="str">
        <f aca="false">IF(COUNT(C12:H12)=0,"",MAX(C12:H12)-MIN(C12:H12))</f>
        <v/>
      </c>
    </row>
    <row r="13" customFormat="false" ht="22.35" hidden="false" customHeight="false" outlineLevel="0" collapsed="false">
      <c r="A13" s="6" t="s">
        <v>26</v>
      </c>
      <c r="B13" s="7" t="s">
        <v>27</v>
      </c>
      <c r="C13" s="8"/>
      <c r="D13" s="8"/>
      <c r="E13" s="8"/>
      <c r="F13" s="8"/>
      <c r="G13" s="8"/>
      <c r="H13" s="8"/>
      <c r="I13" s="9" t="str">
        <f aca="false">IFERROR(ROUND(AVERAGE(C13:H13),1),"")</f>
        <v/>
      </c>
      <c r="J13" s="9" t="str">
        <f aca="false">IF(COUNT(C13:H13)=0,"",MAX(C13:H13)-MIN(C13:H13))</f>
        <v/>
      </c>
    </row>
    <row r="14" customFormat="false" ht="22.35" hidden="false" customHeight="false" outlineLevel="0" collapsed="false">
      <c r="A14" s="6" t="s">
        <v>28</v>
      </c>
      <c r="B14" s="7" t="s">
        <v>29</v>
      </c>
      <c r="C14" s="8"/>
      <c r="D14" s="8"/>
      <c r="E14" s="8"/>
      <c r="F14" s="8"/>
      <c r="G14" s="8"/>
      <c r="H14" s="8"/>
      <c r="I14" s="9" t="str">
        <f aca="false">IFERROR(ROUND(AVERAGE(C14:H14),1),"")</f>
        <v/>
      </c>
      <c r="J14" s="9" t="str">
        <f aca="false">IF(COUNT(C14:H14)=0,"",MAX(C14:H14)-MIN(C14:H14))</f>
        <v/>
      </c>
    </row>
    <row r="15" customFormat="false" ht="22.35" hidden="false" customHeight="false" outlineLevel="0" collapsed="false">
      <c r="A15" s="6" t="s">
        <v>30</v>
      </c>
      <c r="B15" s="7" t="s">
        <v>31</v>
      </c>
      <c r="C15" s="8"/>
      <c r="D15" s="8"/>
      <c r="E15" s="8"/>
      <c r="F15" s="8"/>
      <c r="G15" s="8"/>
      <c r="H15" s="8"/>
      <c r="I15" s="9" t="str">
        <f aca="false">IFERROR(ROUND(AVERAGE(C15:H15),1),"")</f>
        <v/>
      </c>
      <c r="J15" s="9" t="str">
        <f aca="false">IF(COUNT(C15:H15)=0,"",MAX(C15:H15)-MIN(C15:H15))</f>
        <v/>
      </c>
    </row>
    <row r="16" customFormat="false" ht="22.35" hidden="false" customHeight="false" outlineLevel="0" collapsed="false">
      <c r="A16" s="6" t="s">
        <v>32</v>
      </c>
      <c r="B16" s="7" t="s">
        <v>33</v>
      </c>
      <c r="C16" s="8"/>
      <c r="D16" s="8"/>
      <c r="E16" s="8"/>
      <c r="F16" s="8"/>
      <c r="G16" s="8"/>
      <c r="H16" s="8"/>
      <c r="I16" s="9" t="str">
        <f aca="false">IFERROR(ROUND(AVERAGE(C16:H16),1),"")</f>
        <v/>
      </c>
      <c r="J16" s="9" t="str">
        <f aca="false">IF(COUNT(C16:H16)=0,"",MAX(C16:H16)-MIN(C16:H16))</f>
        <v/>
      </c>
    </row>
    <row r="17" customFormat="false" ht="15" hidden="false" customHeight="false" outlineLevel="0" collapsed="false">
      <c r="A17" s="5" t="s">
        <v>34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22.35" hidden="false" customHeight="false" outlineLevel="0" collapsed="false">
      <c r="A18" s="6" t="s">
        <v>35</v>
      </c>
      <c r="B18" s="7" t="s">
        <v>36</v>
      </c>
      <c r="C18" s="8"/>
      <c r="D18" s="8"/>
      <c r="E18" s="8"/>
      <c r="F18" s="8"/>
      <c r="G18" s="8"/>
      <c r="H18" s="8"/>
      <c r="I18" s="9" t="str">
        <f aca="false">IFERROR(ROUND(AVERAGE(C18:H18),1),"")</f>
        <v/>
      </c>
      <c r="J18" s="9" t="str">
        <f aca="false">IF(COUNT(C18:H18)=0,"",MAX(C18:H18)-MIN(C18:H18))</f>
        <v/>
      </c>
    </row>
    <row r="19" customFormat="false" ht="22.35" hidden="false" customHeight="false" outlineLevel="0" collapsed="false">
      <c r="A19" s="6" t="s">
        <v>37</v>
      </c>
      <c r="B19" s="7" t="s">
        <v>38</v>
      </c>
      <c r="C19" s="8"/>
      <c r="D19" s="8"/>
      <c r="E19" s="8"/>
      <c r="F19" s="8"/>
      <c r="G19" s="8"/>
      <c r="H19" s="8"/>
      <c r="I19" s="9" t="str">
        <f aca="false">IFERROR(ROUND(AVERAGE(C19:H19),1),"")</f>
        <v/>
      </c>
      <c r="J19" s="9" t="str">
        <f aca="false">IF(COUNT(C19:H19)=0,"",MAX(C19:H19)-MIN(C19:H19))</f>
        <v/>
      </c>
    </row>
    <row r="20" customFormat="false" ht="22.35" hidden="false" customHeight="false" outlineLevel="0" collapsed="false">
      <c r="A20" s="6" t="s">
        <v>39</v>
      </c>
      <c r="B20" s="7" t="s">
        <v>40</v>
      </c>
      <c r="C20" s="8"/>
      <c r="D20" s="8"/>
      <c r="E20" s="8"/>
      <c r="F20" s="8"/>
      <c r="G20" s="8"/>
      <c r="H20" s="8"/>
      <c r="I20" s="9" t="str">
        <f aca="false">IFERROR(ROUND(AVERAGE(C20:H20),1),"")</f>
        <v/>
      </c>
      <c r="J20" s="9" t="str">
        <f aca="false">IF(COUNT(C20:H20)=0,"",MAX(C20:H20)-MIN(C20:H20))</f>
        <v/>
      </c>
    </row>
    <row r="21" customFormat="false" ht="22.35" hidden="false" customHeight="false" outlineLevel="0" collapsed="false">
      <c r="A21" s="6" t="s">
        <v>41</v>
      </c>
      <c r="B21" s="7" t="s">
        <v>42</v>
      </c>
      <c r="C21" s="8"/>
      <c r="D21" s="8"/>
      <c r="E21" s="8"/>
      <c r="F21" s="8"/>
      <c r="G21" s="8"/>
      <c r="H21" s="8"/>
      <c r="I21" s="9" t="str">
        <f aca="false">IFERROR(ROUND(AVERAGE(C21:H21),1),"")</f>
        <v/>
      </c>
      <c r="J21" s="9" t="str">
        <f aca="false">IF(COUNT(C21:H21)=0,"",MAX(C21:H21)-MIN(C21:H21))</f>
        <v/>
      </c>
    </row>
    <row r="22" customFormat="false" ht="22.35" hidden="false" customHeight="false" outlineLevel="0" collapsed="false">
      <c r="A22" s="6" t="s">
        <v>43</v>
      </c>
      <c r="B22" s="7" t="s">
        <v>44</v>
      </c>
      <c r="C22" s="8"/>
      <c r="D22" s="8"/>
      <c r="E22" s="8"/>
      <c r="F22" s="8"/>
      <c r="G22" s="8"/>
      <c r="H22" s="8"/>
      <c r="I22" s="9" t="str">
        <f aca="false">IFERROR(ROUND(AVERAGE(C22:H22),1),"")</f>
        <v/>
      </c>
      <c r="J22" s="9" t="str">
        <f aca="false">IF(COUNT(C22:H22)=0,"",MAX(C22:H22)-MIN(C22:H22))</f>
        <v/>
      </c>
    </row>
    <row r="23" customFormat="false" ht="15" hidden="false" customHeight="false" outlineLevel="0" collapsed="false">
      <c r="A23" s="5" t="s">
        <v>45</v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22.35" hidden="false" customHeight="false" outlineLevel="0" collapsed="false">
      <c r="A24" s="6" t="s">
        <v>46</v>
      </c>
      <c r="B24" s="7" t="s">
        <v>47</v>
      </c>
      <c r="C24" s="8"/>
      <c r="D24" s="8"/>
      <c r="E24" s="8"/>
      <c r="F24" s="8"/>
      <c r="G24" s="8"/>
      <c r="H24" s="8"/>
      <c r="I24" s="9" t="str">
        <f aca="false">IFERROR(ROUND(AVERAGE(C24:H24),1),"")</f>
        <v/>
      </c>
      <c r="J24" s="9" t="str">
        <f aca="false">IF(COUNT(C24:H24)=0,"",MAX(C24:H24)-MIN(C24:H24))</f>
        <v/>
      </c>
    </row>
    <row r="25" customFormat="false" ht="22.35" hidden="false" customHeight="false" outlineLevel="0" collapsed="false">
      <c r="A25" s="6" t="s">
        <v>48</v>
      </c>
      <c r="B25" s="7" t="s">
        <v>49</v>
      </c>
      <c r="C25" s="8"/>
      <c r="D25" s="8"/>
      <c r="E25" s="8"/>
      <c r="F25" s="8"/>
      <c r="G25" s="8"/>
      <c r="H25" s="8"/>
      <c r="I25" s="9" t="str">
        <f aca="false">IFERROR(ROUND(AVERAGE(C25:H25),1),"")</f>
        <v/>
      </c>
      <c r="J25" s="9" t="str">
        <f aca="false">IF(COUNT(C25:H25)=0,"",MAX(C25:H25)-MIN(C25:H25))</f>
        <v/>
      </c>
    </row>
    <row r="26" customFormat="false" ht="22.35" hidden="false" customHeight="false" outlineLevel="0" collapsed="false">
      <c r="A26" s="6" t="s">
        <v>50</v>
      </c>
      <c r="B26" s="7" t="s">
        <v>51</v>
      </c>
      <c r="C26" s="8"/>
      <c r="D26" s="8"/>
      <c r="E26" s="8"/>
      <c r="F26" s="8"/>
      <c r="G26" s="8"/>
      <c r="H26" s="8"/>
      <c r="I26" s="9" t="str">
        <f aca="false">IFERROR(ROUND(AVERAGE(C26:H26),1),"")</f>
        <v/>
      </c>
      <c r="J26" s="9" t="str">
        <f aca="false">IF(COUNT(C26:H26)=0,"",MAX(C26:H26)-MIN(C26:H26))</f>
        <v/>
      </c>
    </row>
    <row r="27" customFormat="false" ht="22.35" hidden="false" customHeight="false" outlineLevel="0" collapsed="false">
      <c r="A27" s="6" t="s">
        <v>52</v>
      </c>
      <c r="B27" s="7" t="s">
        <v>53</v>
      </c>
      <c r="C27" s="8"/>
      <c r="D27" s="8"/>
      <c r="E27" s="8"/>
      <c r="F27" s="8"/>
      <c r="G27" s="8"/>
      <c r="H27" s="8"/>
      <c r="I27" s="9" t="str">
        <f aca="false">IFERROR(ROUND(AVERAGE(C27:H27),1),"")</f>
        <v/>
      </c>
      <c r="J27" s="9" t="str">
        <f aca="false">IF(COUNT(C27:H27)=0,"",MAX(C27:H27)-MIN(C27:H27))</f>
        <v/>
      </c>
    </row>
    <row r="28" customFormat="false" ht="22.35" hidden="false" customHeight="false" outlineLevel="0" collapsed="false">
      <c r="A28" s="6" t="s">
        <v>54</v>
      </c>
      <c r="B28" s="7" t="s">
        <v>55</v>
      </c>
      <c r="C28" s="8"/>
      <c r="D28" s="8"/>
      <c r="E28" s="8"/>
      <c r="F28" s="8"/>
      <c r="G28" s="8"/>
      <c r="H28" s="8"/>
      <c r="I28" s="9" t="str">
        <f aca="false">IFERROR(ROUND(AVERAGE(C28:H28),1),"")</f>
        <v/>
      </c>
      <c r="J28" s="9" t="str">
        <f aca="false">IF(COUNT(C28:H28)=0,"",MAX(C28:H28)-MIN(C28:H28))</f>
        <v/>
      </c>
    </row>
    <row r="30" customFormat="false" ht="15" hidden="false" customHeight="false" outlineLevel="0" collapsed="false">
      <c r="A30" s="10" t="s">
        <v>56</v>
      </c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15" hidden="false" customHeight="false" outlineLevel="0" collapsed="false">
      <c r="B31" s="11" t="s">
        <v>57</v>
      </c>
      <c r="C31" s="12" t="s">
        <v>4</v>
      </c>
      <c r="D31" s="12" t="s">
        <v>5</v>
      </c>
      <c r="E31" s="12" t="s">
        <v>6</v>
      </c>
      <c r="F31" s="12" t="s">
        <v>7</v>
      </c>
      <c r="G31" s="12" t="s">
        <v>8</v>
      </c>
      <c r="H31" s="12" t="s">
        <v>9</v>
      </c>
      <c r="I31" s="12" t="s">
        <v>10</v>
      </c>
      <c r="J31" s="13"/>
    </row>
    <row r="32" customFormat="false" ht="15" hidden="false" customHeight="false" outlineLevel="0" collapsed="false">
      <c r="B32" s="14" t="s">
        <v>12</v>
      </c>
      <c r="C32" s="15" t="n">
        <f aca="false">SUM(C6:C10)</f>
        <v>0</v>
      </c>
      <c r="D32" s="15" t="n">
        <f aca="false">SUM(D6:D10)</f>
        <v>0</v>
      </c>
      <c r="E32" s="15" t="n">
        <f aca="false">SUM(E6:E10)</f>
        <v>0</v>
      </c>
      <c r="F32" s="15" t="n">
        <f aca="false">SUM(F6:F10)</f>
        <v>0</v>
      </c>
      <c r="G32" s="15" t="n">
        <f aca="false">SUM(G6:G10)</f>
        <v>0</v>
      </c>
      <c r="H32" s="15" t="n">
        <f aca="false">SUM(H6:H10)</f>
        <v>0</v>
      </c>
      <c r="I32" s="16" t="n">
        <f aca="false">IFERROR(ROUND(AVERAGE(C32:H32),1),"")</f>
        <v>0</v>
      </c>
    </row>
    <row r="33" customFormat="false" ht="15" hidden="false" customHeight="false" outlineLevel="0" collapsed="false">
      <c r="B33" s="14" t="s">
        <v>23</v>
      </c>
      <c r="C33" s="15" t="n">
        <f aca="false">SUM(C12:C16)</f>
        <v>0</v>
      </c>
      <c r="D33" s="15" t="n">
        <f aca="false">SUM(D12:D16)</f>
        <v>0</v>
      </c>
      <c r="E33" s="15" t="n">
        <f aca="false">SUM(E12:E16)</f>
        <v>0</v>
      </c>
      <c r="F33" s="15" t="n">
        <f aca="false">SUM(F12:F16)</f>
        <v>0</v>
      </c>
      <c r="G33" s="15" t="n">
        <f aca="false">SUM(G12:G16)</f>
        <v>0</v>
      </c>
      <c r="H33" s="15" t="n">
        <f aca="false">SUM(H12:H16)</f>
        <v>0</v>
      </c>
      <c r="I33" s="16" t="n">
        <f aca="false">IFERROR(ROUND(AVERAGE(C33:H33),1),"")</f>
        <v>0</v>
      </c>
    </row>
    <row r="34" customFormat="false" ht="15" hidden="false" customHeight="false" outlineLevel="0" collapsed="false">
      <c r="B34" s="14" t="s">
        <v>34</v>
      </c>
      <c r="C34" s="15" t="n">
        <f aca="false">SUM(C18:C22)</f>
        <v>0</v>
      </c>
      <c r="D34" s="15" t="n">
        <f aca="false">SUM(D18:D22)</f>
        <v>0</v>
      </c>
      <c r="E34" s="15" t="n">
        <f aca="false">SUM(E18:E22)</f>
        <v>0</v>
      </c>
      <c r="F34" s="15" t="n">
        <f aca="false">SUM(F18:F22)</f>
        <v>0</v>
      </c>
      <c r="G34" s="15" t="n">
        <f aca="false">SUM(G18:G22)</f>
        <v>0</v>
      </c>
      <c r="H34" s="15" t="n">
        <f aca="false">SUM(H18:H22)</f>
        <v>0</v>
      </c>
      <c r="I34" s="16" t="n">
        <f aca="false">IFERROR(ROUND(AVERAGE(C34:H34),1),"")</f>
        <v>0</v>
      </c>
    </row>
    <row r="35" customFormat="false" ht="15" hidden="false" customHeight="false" outlineLevel="0" collapsed="false">
      <c r="B35" s="14" t="s">
        <v>45</v>
      </c>
      <c r="C35" s="15" t="n">
        <f aca="false">SUM(C24:C28)</f>
        <v>0</v>
      </c>
      <c r="D35" s="15" t="n">
        <f aca="false">SUM(D24:D28)</f>
        <v>0</v>
      </c>
      <c r="E35" s="15" t="n">
        <f aca="false">SUM(E24:E28)</f>
        <v>0</v>
      </c>
      <c r="F35" s="15" t="n">
        <f aca="false">SUM(F24:F28)</f>
        <v>0</v>
      </c>
      <c r="G35" s="15" t="n">
        <f aca="false">SUM(G24:G28)</f>
        <v>0</v>
      </c>
      <c r="H35" s="15" t="n">
        <f aca="false">SUM(H24:H28)</f>
        <v>0</v>
      </c>
      <c r="I35" s="16" t="n">
        <f aca="false">IFERROR(ROUND(AVERAGE(C35:H35),1),"")</f>
        <v>0</v>
      </c>
    </row>
    <row r="36" customFormat="false" ht="15" hidden="false" customHeight="false" outlineLevel="0" collapsed="false">
      <c r="B36" s="17" t="s">
        <v>58</v>
      </c>
      <c r="C36" s="18" t="n">
        <f aca="false">SUM(C5:C28)</f>
        <v>0</v>
      </c>
      <c r="D36" s="18" t="n">
        <f aca="false">SUM(D5:D28)</f>
        <v>0</v>
      </c>
      <c r="E36" s="18" t="n">
        <f aca="false">SUM(E5:E28)</f>
        <v>0</v>
      </c>
      <c r="F36" s="18" t="n">
        <f aca="false">SUM(F5:F28)</f>
        <v>0</v>
      </c>
      <c r="G36" s="18" t="n">
        <f aca="false">SUM(G5:G28)</f>
        <v>0</v>
      </c>
      <c r="H36" s="18" t="n">
        <f aca="false">SUM(H5:H28)</f>
        <v>0</v>
      </c>
    </row>
    <row r="37" customFormat="false" ht="15" hidden="false" customHeight="false" outlineLevel="0" collapsed="false">
      <c r="B37" s="17" t="s">
        <v>59</v>
      </c>
      <c r="C37" s="19" t="str">
        <f aca="false">IF(COUNT(C5:C28)=0,"—",IF(C36&lt;=15,"Initiale",IF(C36&lt;=30,"Émergente",IF(C36&lt;=45,"Structurée","Avancée"))))</f>
        <v>—</v>
      </c>
      <c r="D37" s="19" t="str">
        <f aca="false">IF(COUNT(D5:D28)=0,"—",IF(D36&lt;=15,"Initiale",IF(D36&lt;=30,"Émergente",IF(D36&lt;=45,"Structurée","Avancée"))))</f>
        <v>—</v>
      </c>
      <c r="E37" s="19" t="str">
        <f aca="false">IF(COUNT(E5:E28)=0,"—",IF(E36&lt;=15,"Initiale",IF(E36&lt;=30,"Émergente",IF(E36&lt;=45,"Structurée","Avancée"))))</f>
        <v>—</v>
      </c>
      <c r="F37" s="19" t="str">
        <f aca="false">IF(COUNT(F5:F28)=0,"—",IF(F36&lt;=15,"Initiale",IF(F36&lt;=30,"Émergente",IF(F36&lt;=45,"Structurée","Avancée"))))</f>
        <v>—</v>
      </c>
      <c r="G37" s="19" t="str">
        <f aca="false">IF(COUNT(G5:G28)=0,"—",IF(G36&lt;=15,"Initiale",IF(G36&lt;=30,"Émergente",IF(G36&lt;=45,"Structurée","Avancée"))))</f>
        <v>—</v>
      </c>
      <c r="H37" s="19" t="str">
        <f aca="false">IF(COUNT(H5:H28)=0,"—",IF(H36&lt;=15,"Initiale",IF(H36&lt;=30,"Émergente",IF(H36&lt;=45,"Structurée","Avancée"))))</f>
        <v>—</v>
      </c>
    </row>
    <row r="39" customFormat="false" ht="15" hidden="false" customHeight="false" outlineLevel="0" collapsed="false">
      <c r="A39" s="20" t="s">
        <v>60</v>
      </c>
      <c r="B39" s="20"/>
      <c r="C39" s="20"/>
      <c r="D39" s="20"/>
      <c r="E39" s="20"/>
      <c r="F39" s="20"/>
      <c r="G39" s="20"/>
      <c r="H39" s="20"/>
      <c r="I39" s="20"/>
      <c r="J39" s="20"/>
    </row>
    <row r="40" customFormat="false" ht="15" hidden="false" customHeight="false" outlineLevel="0" collapsed="false">
      <c r="B40" s="21" t="s">
        <v>61</v>
      </c>
      <c r="C40" s="22" t="s">
        <v>62</v>
      </c>
      <c r="D40" s="22"/>
      <c r="E40" s="22"/>
      <c r="F40" s="22"/>
      <c r="G40" s="22"/>
      <c r="H40" s="22"/>
      <c r="I40" s="22"/>
      <c r="J40" s="22"/>
    </row>
    <row r="41" customFormat="false" ht="15" hidden="false" customHeight="false" outlineLevel="0" collapsed="false">
      <c r="B41" s="21" t="s">
        <v>63</v>
      </c>
      <c r="C41" s="22" t="s">
        <v>64</v>
      </c>
      <c r="D41" s="22"/>
      <c r="E41" s="22"/>
      <c r="F41" s="22"/>
      <c r="G41" s="22"/>
      <c r="H41" s="22"/>
      <c r="I41" s="22"/>
      <c r="J41" s="22"/>
    </row>
    <row r="42" customFormat="false" ht="15" hidden="false" customHeight="false" outlineLevel="0" collapsed="false">
      <c r="B42" s="21" t="s">
        <v>65</v>
      </c>
      <c r="C42" s="22" t="s">
        <v>66</v>
      </c>
      <c r="D42" s="22"/>
      <c r="E42" s="22"/>
      <c r="F42" s="22"/>
      <c r="G42" s="22"/>
      <c r="H42" s="22"/>
      <c r="I42" s="22"/>
      <c r="J42" s="22"/>
    </row>
    <row r="43" customFormat="false" ht="15" hidden="false" customHeight="false" outlineLevel="0" collapsed="false">
      <c r="B43" s="21" t="s">
        <v>67</v>
      </c>
      <c r="C43" s="22" t="s">
        <v>68</v>
      </c>
      <c r="D43" s="22"/>
      <c r="E43" s="22"/>
      <c r="F43" s="22"/>
      <c r="G43" s="22"/>
      <c r="H43" s="22"/>
      <c r="I43" s="22"/>
      <c r="J43" s="22"/>
    </row>
  </sheetData>
  <mergeCells count="12">
    <mergeCell ref="A1:J1"/>
    <mergeCell ref="A2:J2"/>
    <mergeCell ref="A5:J5"/>
    <mergeCell ref="A11:J11"/>
    <mergeCell ref="A17:J17"/>
    <mergeCell ref="A23:J23"/>
    <mergeCell ref="A30:J30"/>
    <mergeCell ref="A39:J39"/>
    <mergeCell ref="C40:J40"/>
    <mergeCell ref="C41:J41"/>
    <mergeCell ref="C42:J42"/>
    <mergeCell ref="C43:J43"/>
  </mergeCells>
  <conditionalFormatting sqref="J5:J28">
    <cfRule type="cellIs" priority="2" operator="greaterThanOrEqual" aboveAverage="0" equalAverage="0" bottom="0" percent="0" rank="0" text="" dxfId="0">
      <formula>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2026-06-08T18:00:56Z</dcterms:created>
  <dc:creator>openpyxl</dc:creator>
  <dc:description/>
  <dc:language>en-US</dc:language>
  <cp:lastModifiedBy/>
  <dcterms:modified xsi:type="dcterms:W3CDTF">2026-06-08T18:00:56Z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