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sation" sheetId="1" state="visible" r:id="rId3"/>
    <sheet name="Composi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<sst xmlns="http://schemas.openxmlformats.org/spreadsheetml/2006/main" count="25" uniqueCount="24">
  <si>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GOUVERNER LE NUMÉRIQUE ET L’IA SANS ÊTRE EXPERT</t>
  </si>
  <si>
    <t xml:space="preserve">Matrice de priorisation du portefeuille de projets</t>
  </si>
  <si>
    <t xml:space="preserve">Scoring valeur / risque / faisabilité par demande. Logique quadrant valeur/risque : Figure du chapitre 6.</t>
  </si>
  <si>
    <t xml:space="preserve">Projet / demande</t>
  </si>
  <si>
    <t xml:space="preserve">Typologie</t>
  </si>
  <si>
    <t xml:space="preserve">Valeur (1 à 5)</t>
  </si>
  <si>
    <t xml:space="preserve">Risque (1 à 5)</t>
  </si>
  <si>
    <t xml:space="preserve">Faisabilité (1 à 5)</t>
  </si>
  <si>
    <t xml:space="preserve">Quadrant valeur/risque</t>
  </si>
  <si>
    <t xml:space="preserve">Score de priorité</t>
  </si>
  <si>
    <t xml:space="preserve">Logique de lecture : les projets à valeur élevée et risque faible passent en premier ; les projets à valeur faible et risque élevé doivent être questionnés (logique du livre). Le « Score de priorité » = Valeur + Faisabilité moins Risque est un simple indicateur de tri, transparent et ajustable ; il ne figure pas comme tel dans l’ouvrage et sert uniquement à classer les demandes. À compléter par une Analyse de Capacité des Moyens avant tout lancement : ne lancer que le nombre de projets que la capacité réelle permet de livrer.</t>
  </si>
  <si>
    <t xml:space="preserve">Composition du portefeuille par typologie</t>
  </si>
  <si>
    <t xml:space="preserve">Le décompte se met à jour automatiquement à partir de l’onglet Priorisation.</t>
  </si>
  <si>
    <t xml:space="preserve">Nombre de projets</t>
  </si>
  <si>
    <t xml:space="preserve">Part du portefeuille</t>
  </si>
  <si>
    <t xml:space="preserve">Réglementaire et mise en conformité</t>
  </si>
  <si>
    <t xml:space="preserve">Innovation technologique</t>
  </si>
  <si>
    <t xml:space="preserve">Soutien au développement de l’activité</t>
  </si>
  <si>
    <t xml:space="preserve">Amélioration des performances</t>
  </si>
  <si>
    <t xml:space="preserve">Réduction de coût</t>
  </si>
  <si>
    <t xml:space="preserve">Optimisation systèmes / infrastructure</t>
  </si>
  <si>
    <t xml:space="preserve">Maintien en condition opérationnelle</t>
  </si>
  <si>
    <t xml:space="preserve">Décommissionnement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</si>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</sst>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C8A04E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10"/>
      <color rgb="FF374151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74151"/>
      </patternFill>
    </fill>
    <fill>
      <patternFill patternType="solid">
        <fgColor rgb="FFFFF6D5"/>
        <bgColor rgb="FFFBF4E6"/>
      </patternFill>
    </fill>
    <fill>
      <patternFill patternType="solid">
        <fgColor rgb="FFFBF4E6"/>
        <bgColor rgb="FFFFF6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BE3"/>
      </left>
      <right style="thin">
        <color rgb="FFD6DBE3"/>
      </right>
      <top style="thin">
        <color rgb="FFD6DBE3"/>
      </top>
      <bottom style="thin">
        <color rgb="FFD6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D6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4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04E"/>
      <rgbColor rgb="FF1F3864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0"/>
    <col collapsed="false" customWidth="true" hidden="false" outlineLevel="0" max="4" min="3" style="1" width="13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5"/>
  </cols>
  <sheetData>
    <row r="1" customFormat="false" ht="15" hidden="false" customHeight="true" outlineLevel="0" collapsed="false">
      <c r="A1" s="2" t="s">
        <v>0</v>
      </c>
    </row>
    <row r="2" customFormat="false" ht="18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23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true" outlineLevel="0" collapsed="false">
      <c r="A6" s="6"/>
      <c r="B6" s="6"/>
      <c r="C6" s="7"/>
      <c r="D6" s="7"/>
      <c r="E6" s="7"/>
      <c r="F6" s="8" t="str">
        <f aca="false">IF(COUNT(C6,D6)&lt;2,"",IF(AND(C6&gt;=4,D6&lt;=2),"Priorité haute",IF(AND(C6&lt;=2,D6&gt;=4),"À questionner",IF(C6&gt;=D6,"À étudier","Vigilance"))))</f>
        <v/>
      </c>
      <c r="G6" s="9" t="str">
        <f aca="false">IF(COUNT(C6:E6)&lt;3,"",C6+E6-D6)</f>
        <v/>
      </c>
    </row>
    <row r="7" customFormat="false" ht="15" hidden="false" customHeight="true" outlineLevel="0" collapsed="false">
      <c r="A7" s="6"/>
      <c r="B7" s="6"/>
      <c r="C7" s="7"/>
      <c r="D7" s="7"/>
      <c r="E7" s="7"/>
      <c r="F7" s="8" t="str">
        <f aca="false">IF(COUNT(C7,D7)&lt;2,"",IF(AND(C7&gt;=4,D7&lt;=2),"Priorité haute",IF(AND(C7&lt;=2,D7&gt;=4),"À questionner",IF(C7&gt;=D7,"À étudier","Vigilance"))))</f>
        <v/>
      </c>
      <c r="G7" s="9" t="str">
        <f aca="false">IF(COUNT(C7:E7)&lt;3,"",C7+E7-D7)</f>
        <v/>
      </c>
    </row>
    <row r="8" customFormat="false" ht="15" hidden="false" customHeight="true" outlineLevel="0" collapsed="false">
      <c r="A8" s="6"/>
      <c r="B8" s="6"/>
      <c r="C8" s="7"/>
      <c r="D8" s="7"/>
      <c r="E8" s="7"/>
      <c r="F8" s="8" t="str">
        <f aca="false">IF(COUNT(C8,D8)&lt;2,"",IF(AND(C8&gt;=4,D8&lt;=2),"Priorité haute",IF(AND(C8&lt;=2,D8&gt;=4),"À questionner",IF(C8&gt;=D8,"À étudier","Vigilance"))))</f>
        <v/>
      </c>
      <c r="G8" s="9" t="str">
        <f aca="false">IF(COUNT(C8:E8)&lt;3,"",C8+E8-D8)</f>
        <v/>
      </c>
    </row>
    <row r="9" customFormat="false" ht="15" hidden="false" customHeight="true" outlineLevel="0" collapsed="false">
      <c r="A9" s="6"/>
      <c r="B9" s="6"/>
      <c r="C9" s="7"/>
      <c r="D9" s="7"/>
      <c r="E9" s="7"/>
      <c r="F9" s="8" t="str">
        <f aca="false">IF(COUNT(C9,D9)&lt;2,"",IF(AND(C9&gt;=4,D9&lt;=2),"Priorité haute",IF(AND(C9&lt;=2,D9&gt;=4),"À questionner",IF(C9&gt;=D9,"À étudier","Vigilance"))))</f>
        <v/>
      </c>
      <c r="G9" s="9" t="str">
        <f aca="false">IF(COUNT(C9:E9)&lt;3,"",C9+E9-D9)</f>
        <v/>
      </c>
    </row>
    <row r="10" customFormat="false" ht="15" hidden="false" customHeight="true" outlineLevel="0" collapsed="false">
      <c r="A10" s="6"/>
      <c r="B10" s="6"/>
      <c r="C10" s="7"/>
      <c r="D10" s="7"/>
      <c r="E10" s="7"/>
      <c r="F10" s="8" t="str">
        <f aca="false">IF(COUNT(C10,D10)&lt;2,"",IF(AND(C10&gt;=4,D10&lt;=2),"Priorité haute",IF(AND(C10&lt;=2,D10&gt;=4),"À questionner",IF(C10&gt;=D10,"À étudier","Vigilance"))))</f>
        <v/>
      </c>
      <c r="G10" s="9" t="str">
        <f aca="false">IF(COUNT(C10:E10)&lt;3,"",C10+E10-D10)</f>
        <v/>
      </c>
    </row>
    <row r="11" customFormat="false" ht="15" hidden="false" customHeight="true" outlineLevel="0" collapsed="false">
      <c r="A11" s="6"/>
      <c r="B11" s="6"/>
      <c r="C11" s="7"/>
      <c r="D11" s="7"/>
      <c r="E11" s="7"/>
      <c r="F11" s="8" t="str">
        <f aca="false">IF(COUNT(C11,D11)&lt;2,"",IF(AND(C11&gt;=4,D11&lt;=2),"Priorité haute",IF(AND(C11&lt;=2,D11&gt;=4),"À questionner",IF(C11&gt;=D11,"À étudier","Vigilance"))))</f>
        <v/>
      </c>
      <c r="G11" s="9" t="str">
        <f aca="false">IF(COUNT(C11:E11)&lt;3,"",C11+E11-D11)</f>
        <v/>
      </c>
    </row>
    <row r="12" customFormat="false" ht="15" hidden="false" customHeight="true" outlineLevel="0" collapsed="false">
      <c r="A12" s="6"/>
      <c r="B12" s="6"/>
      <c r="C12" s="7"/>
      <c r="D12" s="7"/>
      <c r="E12" s="7"/>
      <c r="F12" s="8" t="str">
        <f aca="false">IF(COUNT(C12,D12)&lt;2,"",IF(AND(C12&gt;=4,D12&lt;=2),"Priorité haute",IF(AND(C12&lt;=2,D12&gt;=4),"À questionner",IF(C12&gt;=D12,"À étudier","Vigilance"))))</f>
        <v/>
      </c>
      <c r="G12" s="9" t="str">
        <f aca="false">IF(COUNT(C12:E12)&lt;3,"",C12+E12-D12)</f>
        <v/>
      </c>
    </row>
    <row r="13" customFormat="false" ht="15" hidden="false" customHeight="true" outlineLevel="0" collapsed="false">
      <c r="A13" s="6"/>
      <c r="B13" s="6"/>
      <c r="C13" s="7"/>
      <c r="D13" s="7"/>
      <c r="E13" s="7"/>
      <c r="F13" s="8" t="str">
        <f aca="false">IF(COUNT(C13,D13)&lt;2,"",IF(AND(C13&gt;=4,D13&lt;=2),"Priorité haute",IF(AND(C13&lt;=2,D13&gt;=4),"À questionner",IF(C13&gt;=D13,"À étudier","Vigilance"))))</f>
        <v/>
      </c>
      <c r="G13" s="9" t="str">
        <f aca="false">IF(COUNT(C13:E13)&lt;3,"",C13+E13-D13)</f>
        <v/>
      </c>
    </row>
    <row r="14" customFormat="false" ht="15" hidden="false" customHeight="true" outlineLevel="0" collapsed="false">
      <c r="A14" s="6"/>
      <c r="B14" s="6"/>
      <c r="C14" s="7"/>
      <c r="D14" s="7"/>
      <c r="E14" s="7"/>
      <c r="F14" s="8" t="str">
        <f aca="false">IF(COUNT(C14,D14)&lt;2,"",IF(AND(C14&gt;=4,D14&lt;=2),"Priorité haute",IF(AND(C14&lt;=2,D14&gt;=4),"À questionner",IF(C14&gt;=D14,"À étudier","Vigilance"))))</f>
        <v/>
      </c>
      <c r="G14" s="9" t="str">
        <f aca="false">IF(COUNT(C14:E14)&lt;3,"",C14+E14-D14)</f>
        <v/>
      </c>
    </row>
    <row r="15" customFormat="false" ht="15" hidden="false" customHeight="true" outlineLevel="0" collapsed="false">
      <c r="A15" s="6"/>
      <c r="B15" s="6"/>
      <c r="C15" s="7"/>
      <c r="D15" s="7"/>
      <c r="E15" s="7"/>
      <c r="F15" s="8" t="str">
        <f aca="false">IF(COUNT(C15,D15)&lt;2,"",IF(AND(C15&gt;=4,D15&lt;=2),"Priorité haute",IF(AND(C15&lt;=2,D15&gt;=4),"À questionner",IF(C15&gt;=D15,"À étudier","Vigilance"))))</f>
        <v/>
      </c>
      <c r="G15" s="9" t="str">
        <f aca="false">IF(COUNT(C15:E15)&lt;3,"",C15+E15-D15)</f>
        <v/>
      </c>
    </row>
    <row r="16" customFormat="false" ht="15" hidden="false" customHeight="true" outlineLevel="0" collapsed="false">
      <c r="A16" s="6"/>
      <c r="B16" s="6"/>
      <c r="C16" s="7"/>
      <c r="D16" s="7"/>
      <c r="E16" s="7"/>
      <c r="F16" s="8" t="str">
        <f aca="false">IF(COUNT(C16,D16)&lt;2,"",IF(AND(C16&gt;=4,D16&lt;=2),"Priorité haute",IF(AND(C16&lt;=2,D16&gt;=4),"À questionner",IF(C16&gt;=D16,"À étudier","Vigilance"))))</f>
        <v/>
      </c>
      <c r="G16" s="9" t="str">
        <f aca="false">IF(COUNT(C16:E16)&lt;3,"",C16+E16-D16)</f>
        <v/>
      </c>
    </row>
    <row r="17" customFormat="false" ht="15" hidden="false" customHeight="true" outlineLevel="0" collapsed="false">
      <c r="A17" s="6"/>
      <c r="B17" s="6"/>
      <c r="C17" s="7"/>
      <c r="D17" s="7"/>
      <c r="E17" s="7"/>
      <c r="F17" s="8" t="str">
        <f aca="false">IF(COUNT(C17,D17)&lt;2,"",IF(AND(C17&gt;=4,D17&lt;=2),"Priorité haute",IF(AND(C17&lt;=2,D17&gt;=4),"À questionner",IF(C17&gt;=D17,"À étudier","Vigilance"))))</f>
        <v/>
      </c>
      <c r="G17" s="9" t="str">
        <f aca="false">IF(COUNT(C17:E17)&lt;3,"",C17+E17-D17)</f>
        <v/>
      </c>
    </row>
    <row r="19" customFormat="false" ht="15" hidden="false" customHeight="true" outlineLevel="0" collapsed="false">
      <c r="A19" s="10" t="s">
        <v>10</v>
      </c>
      <c r="B19" s="10"/>
      <c r="C19" s="10"/>
      <c r="D19" s="10"/>
      <c r="E19" s="10"/>
      <c r="F19" s="10"/>
      <c r="G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</row>
  </sheetData>
  <mergeCells count="1">
    <mergeCell ref="A19:G21"/>
  </mergeCells>
  <dataValidations count="2">
    <dataValidation allowBlank="true" error="Saisir un entier de 1 à 5." errorStyle="stop" errorTitle="Score invalide" operator="between" showDropDown="false" showErrorMessage="false" showInputMessage="false" sqref="C6:E17" type="whole">
      <formula1>1</formula1>
      <formula2>5</formula2>
    </dataValidation>
    <dataValidation allowBlank="true" errorStyle="stop" operator="between" showDropDown="false" showErrorMessage="false" showInputMessage="false" sqref="B6:B17" type="list">
      <formula1>"Réglementaire et mise en conformité,Innovation technologique,Soutien au développement de l’activité,Amélioration des performances,Réduction de coût,Optimisation systèmes / infrastructure,Maintien en condition opérationnelle,Décommissionnement"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decider-numerique-ia.fr  Ressource réservée aux lectrices et lecteurs du livre&amp;R&amp;8 © 2026 Mehdi Moudden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8"/>
  </cols>
  <sheetData>
    <row r="1" customFormat="false" ht="15.75" hidden="false" customHeight="true" outlineLevel="0" collapsed="false">
      <c r="A1" s="11" t="s">
        <v>11</v>
      </c>
    </row>
    <row r="2" customFormat="false" ht="15" hidden="false" customHeight="true" outlineLevel="0" collapsed="false">
      <c r="A2" s="12" t="s">
        <v>12</v>
      </c>
    </row>
    <row r="4" customFormat="false" ht="15" hidden="false" customHeight="true" outlineLevel="0" collapsed="false">
      <c r="A4" s="5" t="s">
        <v>4</v>
      </c>
      <c r="B4" s="5" t="s">
        <v>13</v>
      </c>
      <c r="C4" s="5" t="s">
        <v>14</v>
      </c>
    </row>
    <row r="5" customFormat="false" ht="15" hidden="false" customHeight="true" outlineLevel="0" collapsed="false">
      <c r="A5" s="13" t="s">
        <v>15</v>
      </c>
      <c r="B5" s="14" t="n">
        <f aca="false">COUNTIF(Priorisation!$B$6:$B$17,A5)</f>
        <v>0</v>
      </c>
      <c r="C5" s="15" t="n">
        <f aca="false">IFERROR(B5/$B$13,0)</f>
        <v>0</v>
      </c>
    </row>
    <row r="6" customFormat="false" ht="15" hidden="false" customHeight="true" outlineLevel="0" collapsed="false">
      <c r="A6" s="13" t="s">
        <v>16</v>
      </c>
      <c r="B6" s="14" t="n">
        <f aca="false">COUNTIF(Priorisation!$B$6:$B$17,A6)</f>
        <v>0</v>
      </c>
      <c r="C6" s="15" t="n">
        <f aca="false">IFERROR(B6/$B$13,0)</f>
        <v>0</v>
      </c>
    </row>
    <row r="7" customFormat="false" ht="15" hidden="false" customHeight="true" outlineLevel="0" collapsed="false">
      <c r="A7" s="13" t="s">
        <v>17</v>
      </c>
      <c r="B7" s="14" t="n">
        <f aca="false">COUNTIF(Priorisation!$B$6:$B$17,A7)</f>
        <v>0</v>
      </c>
      <c r="C7" s="15" t="n">
        <f aca="false">IFERROR(B7/$B$13,0)</f>
        <v>0</v>
      </c>
    </row>
    <row r="8" customFormat="false" ht="15" hidden="false" customHeight="true" outlineLevel="0" collapsed="false">
      <c r="A8" s="13" t="s">
        <v>18</v>
      </c>
      <c r="B8" s="14" t="n">
        <f aca="false">COUNTIF(Priorisation!$B$6:$B$17,A8)</f>
        <v>0</v>
      </c>
      <c r="C8" s="15" t="n">
        <f aca="false">IFERROR(B8/$B$13,0)</f>
        <v>0</v>
      </c>
    </row>
    <row r="9" customFormat="false" ht="15" hidden="false" customHeight="true" outlineLevel="0" collapsed="false">
      <c r="A9" s="13" t="s">
        <v>19</v>
      </c>
      <c r="B9" s="14" t="n">
        <f aca="false">COUNTIF(Priorisation!$B$6:$B$17,A9)</f>
        <v>0</v>
      </c>
      <c r="C9" s="15" t="n">
        <f aca="false">IFERROR(B9/$B$13,0)</f>
        <v>0</v>
      </c>
    </row>
    <row r="10" customFormat="false" ht="15" hidden="false" customHeight="true" outlineLevel="0" collapsed="false">
      <c r="A10" s="13" t="s">
        <v>20</v>
      </c>
      <c r="B10" s="14" t="n">
        <f aca="false">COUNTIF(Priorisation!$B$6:$B$17,A10)</f>
        <v>0</v>
      </c>
      <c r="C10" s="15" t="n">
        <f aca="false">IFERROR(B10/$B$13,0)</f>
        <v>0</v>
      </c>
    </row>
    <row r="11" customFormat="false" ht="15" hidden="false" customHeight="true" outlineLevel="0" collapsed="false">
      <c r="A11" s="13" t="s">
        <v>21</v>
      </c>
      <c r="B11" s="14" t="n">
        <f aca="false">COUNTIF(Priorisation!$B$6:$B$17,A11)</f>
        <v>0</v>
      </c>
      <c r="C11" s="15" t="n">
        <f aca="false">IFERROR(B11/$B$13,0)</f>
        <v>0</v>
      </c>
    </row>
    <row r="12" customFormat="false" ht="15" hidden="false" customHeight="true" outlineLevel="0" collapsed="false">
      <c r="A12" s="13" t="s">
        <v>22</v>
      </c>
      <c r="B12" s="14" t="n">
        <f aca="false">COUNTIF(Priorisation!$B$6:$B$17,A12)</f>
        <v>0</v>
      </c>
      <c r="C12" s="15" t="n">
        <f aca="false">IFERROR(B12/$B$13,0)</f>
        <v>0</v>
      </c>
    </row>
    <row r="13" customFormat="false" ht="15" hidden="false" customHeight="true" outlineLevel="0" collapsed="false">
      <c r="A13" s="16" t="s">
        <v>23</v>
      </c>
      <c r="B13" s="17" t="n">
        <f aca="false">SUM(B5:B12)</f>
        <v>0</v>
      </c>
    </row>
  </sheetData>
  <printOptions headings="false" gridLines="false" gridLinesSet="true" horizontalCentered="fals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decider-numerique-ia.fr  Ressource réservée aux lectrices et lecteurs du livre&amp;R&amp;8 © 2026 Mehdi Moudden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2026-06-09T09:52:13Z</dcterms:created>
  <dc:creator>openpyxl</dc:creator>
  <dc:description/>
  <dc:language>en-US</dc:language>
  <cp:lastModifiedBy/>
  <dcterms:modified xsi:type="dcterms:W3CDTF">2026-06-09T09:53:25Z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