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Trame comit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<sst xmlns="http://schemas.openxmlformats.org/spreadsheetml/2006/main" count="105" uniqueCount="94">
  <si>
    <t xml:space="preserve">GOUVERNER LE NUMÉRIQUE ET L’IA SANS ÊTRE EXPERT</t>
  </si>
  <si>
    <t xml:space="preserve">Tableau de bord SI et numérique pour comité de direction</t>
  </si>
  <si>
    <t xml:space="preserve">Quatre quadrants, à lire en moins de cinq minutes. Source : Outil C du livre.</t>
  </si>
  <si>
    <t xml:space="preserve">Indicateur</t>
  </si>
  <si>
    <t xml:space="preserve">Ce qu’il mesure</t>
  </si>
  <si>
    <t xml:space="preserve">Fréquence</t>
  </si>
  <si>
    <t xml:space="preserve">Seuil d’alerte</t>
  </si>
  <si>
    <t xml:space="preserve">Valeur actuelle</t>
  </si>
  <si>
    <t xml:space="preserve">Statut</t>
  </si>
  <si>
    <t xml:space="preserve">QUADRANT 1 : SANTÉ OPÉRATIONNELLE</t>
  </si>
  <si>
    <t xml:space="preserve">Disponibilité des systèmes critiques</t>
  </si>
  <si>
    <t xml:space="preserve">Taux de disponibilité réelle vs SLA contractuels, par système critique.</t>
  </si>
  <si>
    <t xml:space="preserve">Mensuelle</t>
  </si>
  <si>
    <t xml:space="preserve">Disponibilité inférieure à 99,5 % sur 2 mois consécutifs.</t>
  </si>
  <si>
    <t xml:space="preserve">Satisfaction utilisateurs</t>
  </si>
  <si>
    <t xml:space="preserve">Score de satisfaction des utilisateurs internes vis-à-vis des outils et du support SI.</t>
  </si>
  <si>
    <t xml:space="preserve">Trimestrielle</t>
  </si>
  <si>
    <t xml:space="preserve">Score inférieur à 3,5/5 ou dégradation de plus de 0,5 point en un trimestre.</t>
  </si>
  <si>
    <t xml:space="preserve">Volume et délai de résolution des incidents</t>
  </si>
  <si>
    <t xml:space="preserve">Nombre d’incidents par criticité et délai moyen de résolution par niveau de priorité.</t>
  </si>
  <si>
    <t xml:space="preserve">Augmentation de 20 % du volume d’incidents P1/P2 ou dépassement des SLA de résolution.</t>
  </si>
  <si>
    <t xml:space="preserve">Taux de succès des mises en production</t>
  </si>
  <si>
    <t xml:space="preserve">Pourcentage de mises en production sans incident majeur dans les 48 h suivant le déploiement.</t>
  </si>
  <si>
    <t xml:space="preserve">Taux inférieur à 90 % sur deux mois consécutifs.</t>
  </si>
  <si>
    <t xml:space="preserve">QUADRANT 2 : PERFORMANCE ÉCONOMIQUE</t>
  </si>
  <si>
    <t xml:space="preserve">Exécution budgétaire Run/Change/Build</t>
  </si>
  <si>
    <t xml:space="preserve">Consommé vs budget par catégorie, avec projection fin d’année et identification des écarts.</t>
  </si>
  <si>
    <t xml:space="preserve">Dépassement de 15 % ou sous-consommation de 20 % sur le Change (signal de blocage).</t>
  </si>
  <si>
    <t xml:space="preserve">Avancement du portefeuille de projets</t>
  </si>
  <si>
    <t xml:space="preserve">Statut des projets significatifs : vert (dans les clous), orange (risque identifié), rouge (en difficulté).</t>
  </si>
  <si>
    <t xml:space="preserve">Plus de 30 % du portefeuille en orange ou rouge. Tout projet rouge non recadré depuis deux comités.</t>
  </si>
  <si>
    <t xml:space="preserve">Part de la dette technique</t>
  </si>
  <si>
    <t xml:space="preserve">Pourcentage du budget Run consacré à la maintenance corrective de systèmes obsolètes ou en fin de vie.</t>
  </si>
  <si>
    <t xml:space="preserve">Semestrielle</t>
  </si>
  <si>
    <t xml:space="preserve">Part supérieure à 25 % du budget Run total : signal de dégradation de la capacité à innover.</t>
  </si>
  <si>
    <t xml:space="preserve">ROI des projets livrés</t>
  </si>
  <si>
    <t xml:space="preserve">Bilan post-projet des 3 à 5 projets les plus significatifs livrés dans les 12 mois : bénéfices réalisés vs prévus.</t>
  </si>
  <si>
    <t xml:space="preserve">Annuelle</t>
  </si>
  <si>
    <t xml:space="preserve">Bénéfices réalisés inférieurs à 60 % des bénéfices prévus sur la majorité des projets évalués.</t>
  </si>
  <si>
    <t xml:space="preserve">QUADRANT 3 : TRANSFORMATION ET INNOVATION</t>
  </si>
  <si>
    <t xml:space="preserve">Avancement du SDSI</t>
  </si>
  <si>
    <t xml:space="preserve">Pourcentage des jalons du Schéma Directeur atteints à date, avec projection sur les 12 prochains mois.</t>
  </si>
  <si>
    <t xml:space="preserve">Retard de plus de 6 mois sur les jalons stratégiques ou révision majeure non anticipée.</t>
  </si>
  <si>
    <t xml:space="preserve">Maturité et usage de l’IA</t>
  </si>
  <si>
    <t xml:space="preserve">Nombre d’initiatives IA en production, en pilote et en étude. ROI mesuré sur les initiatives en production.</t>
  </si>
  <si>
    <t xml:space="preserve">Absence de cas d’usage IA en production après 18 mois de programme IA.</t>
  </si>
  <si>
    <t xml:space="preserve">Culture numérique des équipes</t>
  </si>
  <si>
    <t xml:space="preserve">Taux de managers formés aux outils numériques prioritaires et satisfaction des métiers dans la co-construction.</t>
  </si>
  <si>
    <t xml:space="preserve">Taux de formation inférieur à 60 % ou satisfaction des métiers en dégradation continue.</t>
  </si>
  <si>
    <t xml:space="preserve">QUADRANT 4 : SÉCURITÉ ET CONFORMITÉ</t>
  </si>
  <si>
    <t xml:space="preserve">Niveau de risque cyber</t>
  </si>
  <si>
    <t xml:space="preserve">Synthèse des vulnérabilités critiques non corrigées, des incidents de sécurité et du niveau de maturité RSSI.</t>
  </si>
  <si>
    <t xml:space="preserve">Vulnérabilités critiques non traitées depuis plus de 30 jours. Incident de sécurité non divulgué.</t>
  </si>
  <si>
    <t xml:space="preserve">Conformité réglementaire numérique</t>
  </si>
  <si>
    <t xml:space="preserve">État d’avancement des chantiers de mise en conformité RGPD, NIS2, DORA (selon secteur), AI Act.</t>
  </si>
  <si>
    <t xml:space="preserve">Chantier de conformité critique en retard de plus de 6 mois sur le calendrier réglementaire.</t>
  </si>
  <si>
    <t xml:space="preserve">Couverture PCA/PRA</t>
  </si>
  <si>
    <t xml:space="preserve">Pourcentage des systèmes critiques couverts par un PCA/PRA testé dans les 12 derniers mois.</t>
  </si>
  <si>
    <t xml:space="preserve">Systèmes critiques non couverts ou PCA non testé depuis plus de 24 mois.</t>
  </si>
  <si>
    <t xml:space="preserve">Synthèse des statuts</t>
  </si>
  <si>
    <t xml:space="preserve">Vert</t>
  </si>
  <si>
    <t xml:space="preserve">Orange</t>
  </si>
  <si>
    <t xml:space="preserve">Rouge</t>
  </si>
  <si>
    <t xml:space="preserve">Trame type de comité de pilotage SI et IA</t>
  </si>
  <si>
    <t xml:space="preserve">Un comité de pilotage SI efficace est un lieu de décision, pas de présentation.</t>
  </si>
  <si>
    <t xml:space="preserve">Rubrique</t>
  </si>
  <si>
    <t xml:space="preserve">Durée</t>
  </si>
  <si>
    <t xml:space="preserve">Objectif</t>
  </si>
  <si>
    <t xml:space="preserve">Document requis</t>
  </si>
  <si>
    <t xml:space="preserve">Décision attendue</t>
  </si>
  <si>
    <t xml:space="preserve">Tableau de bord synthétique</t>
  </si>
  <si>
    <t xml:space="preserve">10 min</t>
  </si>
  <si>
    <t xml:space="preserve">Prise de connaissance rapide de la santé du SI, du portefeuille et des alertes actives.</t>
  </si>
  <si>
    <t xml:space="preserve">Tableau de bord selon le modèle, transmis 48 h avant le comité.</t>
  </si>
  <si>
    <t xml:space="preserve">Prise d’acte ou déclenchement de points d’attention spécifiques.</t>
  </si>
  <si>
    <t xml:space="preserve">Points chauds et alertes</t>
  </si>
  <si>
    <t xml:space="preserve">15 min</t>
  </si>
  <si>
    <t xml:space="preserve">Traitement des sujets en rouge ou orange. Décisions de recadrage.</t>
  </si>
  <si>
    <t xml:space="preserve">Fiche de situation par sujet en difficulté : état, causes, options, recommandation.</t>
  </si>
  <si>
    <t xml:space="preserve">Recadrage, réallocation de ressources, escalade ou arrêt de projet.</t>
  </si>
  <si>
    <t xml:space="preserve">Arbitrages sur le portefeuille</t>
  </si>
  <si>
    <t xml:space="preserve">20 min</t>
  </si>
  <si>
    <t xml:space="preserve">Priorisation des nouvelles demandes, arbitrage entre projets en compétition.</t>
  </si>
  <si>
    <t xml:space="preserve">Grille de priorisation à jour, avec scoring valeur/risque/faisabilité par demande.</t>
  </si>
  <si>
    <t xml:space="preserve">Lancement, report ou dé-priorisation, avec justification documentée.</t>
  </si>
  <si>
    <t xml:space="preserve">Point stratégique SI</t>
  </si>
  <si>
    <t xml:space="preserve">Un sujet de fond par comité : SDSI, dette technique, programme IA, souveraineté, etc.</t>
  </si>
  <si>
    <t xml:space="preserve">Note de synthèse de 2 pages maximum : contexte, enjeux, options, recommandation.</t>
  </si>
  <si>
    <t xml:space="preserve">Orientation stratégique, étude complémentaire ou décision définitive.</t>
  </si>
  <si>
    <t xml:space="preserve">Clôture et actions</t>
  </si>
  <si>
    <t xml:space="preserve">5 min</t>
  </si>
  <si>
    <t xml:space="preserve">Confirmation des décisions, attribution des actions, date du prochain comité.</t>
  </si>
  <si>
    <t xml:space="preserve">Compte rendu synthétique : décisions, actions, responsables, délais.</t>
  </si>
  <si>
    <t xml:space="preserve">Validation du compte rendu en séance ou par retour dans les 48 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</si>
</sst>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C8A04E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.5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E8ECF4"/>
        <bgColor rgb="FFD6DBE3"/>
      </patternFill>
    </fill>
    <fill>
      <patternFill patternType="solid">
        <fgColor rgb="FFFFF6D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BE3"/>
      </left>
      <right style="thin">
        <color rgb="FFD6DBE3"/>
      </right>
      <top style="thin">
        <color rgb="FFD6DBE3"/>
      </top>
      <bottom style="thin">
        <color rgb="FFD6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6D5"/>
      <rgbColor rgb="FFE8ECF4"/>
      <rgbColor rgb="FF660066"/>
      <rgbColor rgb="FFFF8080"/>
      <rgbColor rgb="FF0066CC"/>
      <rgbColor rgb="FFD6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C8A04E"/>
      <rgbColor rgb="FF1F3864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15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true" outlineLevel="0" collapsed="false">
      <c r="A6" s="6" t="s">
        <v>9</v>
      </c>
      <c r="B6" s="6"/>
      <c r="C6" s="6"/>
      <c r="D6" s="6"/>
      <c r="E6" s="6"/>
      <c r="F6" s="6"/>
    </row>
    <row r="7" customFormat="false" ht="21.75" hidden="false" customHeight="true" outlineLevel="0" collapsed="false">
      <c r="A7" s="7" t="s">
        <v>10</v>
      </c>
      <c r="B7" s="8" t="s">
        <v>11</v>
      </c>
      <c r="C7" s="9" t="s">
        <v>12</v>
      </c>
      <c r="D7" s="8" t="s">
        <v>13</v>
      </c>
      <c r="E7" s="10"/>
      <c r="F7" s="11"/>
    </row>
    <row r="8" customFormat="false" ht="21.75" hidden="false" customHeight="true" outlineLevel="0" collapsed="false">
      <c r="A8" s="7" t="s">
        <v>14</v>
      </c>
      <c r="B8" s="8" t="s">
        <v>15</v>
      </c>
      <c r="C8" s="9" t="s">
        <v>16</v>
      </c>
      <c r="D8" s="8" t="s">
        <v>17</v>
      </c>
      <c r="E8" s="10"/>
      <c r="F8" s="11"/>
    </row>
    <row r="9" customFormat="false" ht="23.25" hidden="false" customHeight="true" outlineLevel="0" collapsed="false">
      <c r="A9" s="7" t="s">
        <v>18</v>
      </c>
      <c r="B9" s="8" t="s">
        <v>19</v>
      </c>
      <c r="C9" s="9" t="s">
        <v>12</v>
      </c>
      <c r="D9" s="8" t="s">
        <v>20</v>
      </c>
      <c r="E9" s="10"/>
      <c r="F9" s="11"/>
    </row>
    <row r="10" customFormat="false" ht="23.25" hidden="false" customHeight="true" outlineLevel="0" collapsed="false">
      <c r="A10" s="7" t="s">
        <v>21</v>
      </c>
      <c r="B10" s="8" t="s">
        <v>22</v>
      </c>
      <c r="C10" s="9" t="s">
        <v>12</v>
      </c>
      <c r="D10" s="8" t="s">
        <v>23</v>
      </c>
      <c r="E10" s="10"/>
      <c r="F10" s="11"/>
    </row>
    <row r="11" customFormat="false" ht="15" hidden="false" customHeight="true" outlineLevel="0" collapsed="false">
      <c r="A11" s="6" t="s">
        <v>24</v>
      </c>
      <c r="B11" s="6"/>
      <c r="C11" s="6"/>
      <c r="D11" s="6"/>
      <c r="E11" s="6"/>
      <c r="F11" s="6"/>
    </row>
    <row r="12" customFormat="false" ht="23.25" hidden="false" customHeight="true" outlineLevel="0" collapsed="false">
      <c r="A12" s="7" t="s">
        <v>25</v>
      </c>
      <c r="B12" s="8" t="s">
        <v>26</v>
      </c>
      <c r="C12" s="9" t="s">
        <v>16</v>
      </c>
      <c r="D12" s="8" t="s">
        <v>27</v>
      </c>
      <c r="E12" s="10"/>
      <c r="F12" s="11"/>
    </row>
    <row r="13" customFormat="false" ht="21.75" hidden="false" customHeight="true" outlineLevel="0" collapsed="false">
      <c r="A13" s="7" t="s">
        <v>28</v>
      </c>
      <c r="B13" s="8" t="s">
        <v>29</v>
      </c>
      <c r="C13" s="9" t="s">
        <v>16</v>
      </c>
      <c r="D13" s="8" t="s">
        <v>30</v>
      </c>
      <c r="E13" s="10"/>
      <c r="F13" s="11"/>
    </row>
    <row r="14" customFormat="false" ht="32.25" hidden="false" customHeight="true" outlineLevel="0" collapsed="false">
      <c r="A14" s="7" t="s">
        <v>31</v>
      </c>
      <c r="B14" s="8" t="s">
        <v>32</v>
      </c>
      <c r="C14" s="9" t="s">
        <v>33</v>
      </c>
      <c r="D14" s="8" t="s">
        <v>34</v>
      </c>
      <c r="E14" s="10"/>
      <c r="F14" s="11"/>
    </row>
    <row r="15" customFormat="false" ht="32.25" hidden="false" customHeight="true" outlineLevel="0" collapsed="false">
      <c r="A15" s="7" t="s">
        <v>35</v>
      </c>
      <c r="B15" s="8" t="s">
        <v>36</v>
      </c>
      <c r="C15" s="9" t="s">
        <v>37</v>
      </c>
      <c r="D15" s="8" t="s">
        <v>38</v>
      </c>
      <c r="E15" s="10"/>
      <c r="F15" s="11"/>
    </row>
    <row r="16" customFormat="false" ht="15" hidden="false" customHeight="true" outlineLevel="0" collapsed="false">
      <c r="A16" s="6" t="s">
        <v>39</v>
      </c>
      <c r="B16" s="6"/>
      <c r="C16" s="6"/>
      <c r="D16" s="6"/>
      <c r="E16" s="6"/>
      <c r="F16" s="6"/>
    </row>
    <row r="17" customFormat="false" ht="21.75" hidden="false" customHeight="true" outlineLevel="0" collapsed="false">
      <c r="A17" s="7" t="s">
        <v>40</v>
      </c>
      <c r="B17" s="8" t="s">
        <v>41</v>
      </c>
      <c r="C17" s="9" t="s">
        <v>33</v>
      </c>
      <c r="D17" s="8" t="s">
        <v>42</v>
      </c>
      <c r="E17" s="10"/>
      <c r="F17" s="11"/>
    </row>
    <row r="18" customFormat="false" ht="21.75" hidden="false" customHeight="true" outlineLevel="0" collapsed="false">
      <c r="A18" s="7" t="s">
        <v>43</v>
      </c>
      <c r="B18" s="8" t="s">
        <v>44</v>
      </c>
      <c r="C18" s="9" t="s">
        <v>33</v>
      </c>
      <c r="D18" s="8" t="s">
        <v>45</v>
      </c>
      <c r="E18" s="10"/>
      <c r="F18" s="11"/>
    </row>
    <row r="19" customFormat="false" ht="32.25" hidden="false" customHeight="true" outlineLevel="0" collapsed="false">
      <c r="A19" s="7" t="s">
        <v>46</v>
      </c>
      <c r="B19" s="8" t="s">
        <v>47</v>
      </c>
      <c r="C19" s="9" t="s">
        <v>37</v>
      </c>
      <c r="D19" s="8" t="s">
        <v>48</v>
      </c>
      <c r="E19" s="10"/>
      <c r="F19" s="11"/>
    </row>
    <row r="20" customFormat="false" ht="15" hidden="false" customHeight="true" outlineLevel="0" collapsed="false">
      <c r="A20" s="6" t="s">
        <v>49</v>
      </c>
      <c r="B20" s="6"/>
      <c r="C20" s="6"/>
      <c r="D20" s="6"/>
      <c r="E20" s="6"/>
      <c r="F20" s="6"/>
    </row>
    <row r="21" customFormat="false" ht="32.25" hidden="false" customHeight="true" outlineLevel="0" collapsed="false">
      <c r="A21" s="7" t="s">
        <v>50</v>
      </c>
      <c r="B21" s="8" t="s">
        <v>51</v>
      </c>
      <c r="C21" s="9" t="s">
        <v>16</v>
      </c>
      <c r="D21" s="8" t="s">
        <v>52</v>
      </c>
      <c r="E21" s="10"/>
      <c r="F21" s="11"/>
    </row>
    <row r="22" customFormat="false" ht="32.25" hidden="false" customHeight="true" outlineLevel="0" collapsed="false">
      <c r="A22" s="7" t="s">
        <v>53</v>
      </c>
      <c r="B22" s="8" t="s">
        <v>54</v>
      </c>
      <c r="C22" s="9" t="s">
        <v>33</v>
      </c>
      <c r="D22" s="8" t="s">
        <v>55</v>
      </c>
      <c r="E22" s="10"/>
      <c r="F22" s="11"/>
    </row>
    <row r="23" customFormat="false" ht="21.75" hidden="false" customHeight="true" outlineLevel="0" collapsed="false">
      <c r="A23" s="7" t="s">
        <v>56</v>
      </c>
      <c r="B23" s="8" t="s">
        <v>57</v>
      </c>
      <c r="C23" s="9" t="s">
        <v>37</v>
      </c>
      <c r="D23" s="8" t="s">
        <v>58</v>
      </c>
      <c r="E23" s="10"/>
      <c r="F23" s="11"/>
    </row>
    <row r="25" customFormat="false" ht="15" hidden="false" customHeight="true" outlineLevel="0" collapsed="false">
      <c r="A25" s="12" t="s">
        <v>59</v>
      </c>
    </row>
    <row r="26" customFormat="false" ht="15" hidden="false" customHeight="true" outlineLevel="0" collapsed="false">
      <c r="A26" s="1" t="s">
        <v>60</v>
      </c>
      <c r="B26" s="13" t="n">
        <f aca="false">COUNTIF(F6:F23,"Vert")</f>
        <v>0</v>
      </c>
    </row>
    <row r="27" customFormat="false" ht="15" hidden="false" customHeight="true" outlineLevel="0" collapsed="false">
      <c r="A27" s="1" t="s">
        <v>61</v>
      </c>
      <c r="B27" s="13" t="n">
        <f aca="false">COUNTIF(F6:F23,"Orange")</f>
        <v>0</v>
      </c>
    </row>
    <row r="28" customFormat="false" ht="15" hidden="false" customHeight="true" outlineLevel="0" collapsed="false">
      <c r="A28" s="1" t="s">
        <v>62</v>
      </c>
      <c r="B28" s="13" t="n">
        <f aca="false">COUNTIF(F6:F23,"Rouge")</f>
        <v>0</v>
      </c>
    </row>
  </sheetData>
  <mergeCells count="4">
    <mergeCell ref="A6:F6"/>
    <mergeCell ref="A11:F11"/>
    <mergeCell ref="A16:F16"/>
    <mergeCell ref="A20:F20"/>
  </mergeCells>
  <conditionalFormatting sqref="F6:F23">
    <cfRule type="cellIs" priority="2" operator="equal" aboveAverage="0" equalAverage="0" bottom="0" percent="0" rank="0" text="" dxfId="0">
      <formula>"Vert"</formula>
    </cfRule>
    <cfRule type="cellIs" priority="3" operator="equal" aboveAverage="0" equalAverage="0" bottom="0" percent="0" rank="0" text="" dxfId="1">
      <formula>"Orange"</formula>
    </cfRule>
    <cfRule type="cellIs" priority="4" operator="equal" aboveAverage="0" equalAverage="0" bottom="0" percent="0" rank="0" text="" dxfId="2">
      <formula>"Rouge"</formula>
    </cfRule>
  </conditionalFormatting>
  <dataValidations count="1">
    <dataValidation allowBlank="true" errorStyle="stop" operator="between" showDropDown="false" showErrorMessage="false" showInputMessage="false" sqref="F7:F10 F12:F15 F17:F19 F21:F23" type="list">
      <formula1>"Vert,Orange,Rouge"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decider-numerique-ia.fr  Ressource réservée aux lectrices et lecteurs du livre&amp;R&amp;8 © 2026 Mehdi Moudden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"/>
    <col collapsed="false" customWidth="true" hidden="false" outlineLevel="0" max="5" min="3" style="1" width="38"/>
  </cols>
  <sheetData>
    <row r="1" customFormat="false" ht="15.75" hidden="false" customHeight="true" outlineLevel="0" collapsed="false">
      <c r="A1" s="14" t="s">
        <v>63</v>
      </c>
    </row>
    <row r="2" customFormat="false" ht="15" hidden="false" customHeight="true" outlineLevel="0" collapsed="false">
      <c r="A2" s="15" t="s">
        <v>64</v>
      </c>
    </row>
    <row r="4" customFormat="false" ht="15" hidden="false" customHeight="true" outlineLevel="0" collapsed="false">
      <c r="A4" s="5" t="s">
        <v>65</v>
      </c>
      <c r="B4" s="5" t="s">
        <v>66</v>
      </c>
      <c r="C4" s="5" t="s">
        <v>67</v>
      </c>
      <c r="D4" s="5" t="s">
        <v>68</v>
      </c>
      <c r="E4" s="5" t="s">
        <v>69</v>
      </c>
    </row>
    <row r="5" customFormat="false" ht="21.75" hidden="false" customHeight="true" outlineLevel="0" collapsed="false">
      <c r="A5" s="16" t="s">
        <v>70</v>
      </c>
      <c r="B5" s="9" t="s">
        <v>71</v>
      </c>
      <c r="C5" s="8" t="s">
        <v>72</v>
      </c>
      <c r="D5" s="8" t="s">
        <v>73</v>
      </c>
      <c r="E5" s="8" t="s">
        <v>74</v>
      </c>
    </row>
    <row r="6" customFormat="false" ht="21.75" hidden="false" customHeight="true" outlineLevel="0" collapsed="false">
      <c r="A6" s="16" t="s">
        <v>75</v>
      </c>
      <c r="B6" s="9" t="s">
        <v>76</v>
      </c>
      <c r="C6" s="8" t="s">
        <v>77</v>
      </c>
      <c r="D6" s="8" t="s">
        <v>78</v>
      </c>
      <c r="E6" s="8" t="s">
        <v>79</v>
      </c>
    </row>
    <row r="7" customFormat="false" ht="21.75" hidden="false" customHeight="true" outlineLevel="0" collapsed="false">
      <c r="A7" s="16" t="s">
        <v>80</v>
      </c>
      <c r="B7" s="9" t="s">
        <v>81</v>
      </c>
      <c r="C7" s="8" t="s">
        <v>82</v>
      </c>
      <c r="D7" s="8" t="s">
        <v>83</v>
      </c>
      <c r="E7" s="8" t="s">
        <v>84</v>
      </c>
    </row>
    <row r="8" customFormat="false" ht="21.75" hidden="false" customHeight="true" outlineLevel="0" collapsed="false">
      <c r="A8" s="16" t="s">
        <v>85</v>
      </c>
      <c r="B8" s="9" t="s">
        <v>76</v>
      </c>
      <c r="C8" s="8" t="s">
        <v>86</v>
      </c>
      <c r="D8" s="8" t="s">
        <v>87</v>
      </c>
      <c r="E8" s="8" t="s">
        <v>88</v>
      </c>
    </row>
    <row r="9" customFormat="false" ht="21.75" hidden="false" customHeight="true" outlineLevel="0" collapsed="false">
      <c r="A9" s="16" t="s">
        <v>89</v>
      </c>
      <c r="B9" s="9" t="s">
        <v>90</v>
      </c>
      <c r="C9" s="8" t="s">
        <v>91</v>
      </c>
      <c r="D9" s="8" t="s">
        <v>92</v>
      </c>
      <c r="E9" s="8" t="s">
        <v>93</v>
      </c>
    </row>
  </sheetData>
  <printOptions headings="false" gridLines="false" gridLinesSet="true" horizontalCentered="fals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decider-numerique-ia.fr  Ressource réservée aux lectrices et lecteurs du livre&amp;R&amp;8 © 2026 Mehdi Moudden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2026-06-09T09:52:13Z</dcterms:created>
  <dc:creator>openpyxl</dc:creator>
  <dc:description/>
  <dc:language>en-US</dc:language>
  <cp:lastModifiedBy/>
  <dcterms:modified xsi:type="dcterms:W3CDTF">2026-06-09T09:53:25Z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